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eudinh/Desktop/lee-lab/RIJ/efficient_all_electron_periodic_ftc_method/mgo_co/"/>
    </mc:Choice>
  </mc:AlternateContent>
  <xr:revisionPtr revIDLastSave="0" documentId="13_ncr:1_{FC2108C8-437A-8A4D-85D2-DC2F433A32FD}" xr6:coauthVersionLast="47" xr6:coauthVersionMax="47" xr10:uidLastSave="{00000000-0000-0000-0000-000000000000}"/>
  <bookViews>
    <workbookView xWindow="62840" yWindow="-100" windowWidth="27060" windowHeight="24100" xr2:uid="{05099615-AB1D-C64A-A59E-9831400A6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4" i="1"/>
  <c r="D4" i="1"/>
  <c r="D21" i="1" s="1"/>
  <c r="B4" i="1"/>
  <c r="B21" i="1" s="1"/>
  <c r="C10" i="1"/>
  <c r="D10" i="1"/>
  <c r="B10" i="1"/>
  <c r="C16" i="1"/>
  <c r="D16" i="1"/>
  <c r="B16" i="1"/>
  <c r="C20" i="1"/>
  <c r="D20" i="1"/>
  <c r="B20" i="1"/>
</calcChain>
</file>

<file path=xl/sharedStrings.xml><?xml version="1.0" encoding="utf-8"?>
<sst xmlns="http://schemas.openxmlformats.org/spreadsheetml/2006/main" count="29" uniqueCount="12">
  <si>
    <t>MgO + CO</t>
  </si>
  <si>
    <t>MgO + CO(ghost)</t>
  </si>
  <si>
    <t>MgO(ghost) + CO</t>
  </si>
  <si>
    <t>def2svp</t>
  </si>
  <si>
    <t>def2tzvp</t>
  </si>
  <si>
    <t>def2qzvp</t>
  </si>
  <si>
    <t xml:space="preserve">PBE </t>
  </si>
  <si>
    <t>PBE + D3(0)</t>
  </si>
  <si>
    <t>PBE + D3(BJ)</t>
  </si>
  <si>
    <t>dispersion-correction</t>
  </si>
  <si>
    <t>Adsorption energy</t>
  </si>
  <si>
    <t>HA_TO_KJMOL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</si>
</sst>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5E2AE-F6F8-7B40-AB3E-1333C9C89900}">
  <dimension ref="A1:O21"/>
  <sheetViews>
    <sheetView tabSelected="1" workbookViewId="0">
      <selection activeCell="B3" sqref="B3"/>
    </sheetView>
  </sheetViews>
  <sheetFormatPr baseColWidth="10" defaultRowHeight="16" x14ac:dyDescent="0.2"/>
  <cols>
    <col min="1" max="1" width="22.1640625" customWidth="1"/>
    <col min="2" max="2" width="12.83203125" customWidth="1"/>
    <col min="3" max="3" width="14.33203125" customWidth="1"/>
    <col min="4" max="4" width="16.33203125" customWidth="1"/>
    <col min="5" max="5" width="19.33203125" customWidth="1"/>
  </cols>
  <sheetData>
    <row r="1" spans="1:15" x14ac:dyDescent="0.2">
      <c r="A1" s="1" t="s">
        <v>0</v>
      </c>
      <c r="B1" s="2" t="s">
        <v>3</v>
      </c>
      <c r="C1" s="2" t="s">
        <v>4</v>
      </c>
      <c r="D1" s="2" t="s">
        <v>5</v>
      </c>
      <c r="E1" s="2" t="s">
        <v>9</v>
      </c>
      <c r="F1" s="2"/>
    </row>
    <row r="2" spans="1:15" x14ac:dyDescent="0.2">
      <c r="A2" s="2" t="s">
        <v>6</v>
      </c>
      <c r="B2" s="2">
        <v>-8917.8479019999995</v>
      </c>
      <c r="C2" s="2">
        <v>-8922.8849969999992</v>
      </c>
      <c r="D2" s="2">
        <v>-8923.3361160000004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s="2" t="s">
        <v>8</v>
      </c>
      <c r="B3" s="2">
        <v>-8918.2195400000001</v>
      </c>
      <c r="C3" s="2">
        <v>-8923.2566032129998</v>
      </c>
      <c r="D3" s="2">
        <v>-8923.7077530000006</v>
      </c>
      <c r="E3" s="2">
        <v>-0.3716375623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2" t="s">
        <v>7</v>
      </c>
      <c r="B4" s="2">
        <f>B2+$E4</f>
        <v>-8918.0707935094997</v>
      </c>
      <c r="C4" s="2">
        <f t="shared" ref="C4:D4" si="0">C2+$E4</f>
        <v>-8923.1078885094994</v>
      </c>
      <c r="D4" s="2">
        <f t="shared" si="0"/>
        <v>-8923.5590075095006</v>
      </c>
      <c r="E4" s="2">
        <v>-0.2228915095</v>
      </c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x14ac:dyDescent="0.2">
      <c r="A7" s="1" t="s">
        <v>1</v>
      </c>
      <c r="B7" s="2" t="s">
        <v>3</v>
      </c>
      <c r="C7" s="2" t="s">
        <v>4</v>
      </c>
      <c r="D7" s="2" t="s">
        <v>5</v>
      </c>
    </row>
    <row r="8" spans="1:15" x14ac:dyDescent="0.2">
      <c r="A8" s="2" t="s">
        <v>6</v>
      </c>
      <c r="B8" s="2">
        <v>-8804.7379820000006</v>
      </c>
      <c r="C8" s="2">
        <v>-8809.6441749999994</v>
      </c>
      <c r="D8" s="2">
        <v>-8810.0888049999994</v>
      </c>
    </row>
    <row r="9" spans="1:15" x14ac:dyDescent="0.2">
      <c r="A9" s="2" t="s">
        <v>8</v>
      </c>
      <c r="B9" s="2">
        <v>-8805.1029849999995</v>
      </c>
      <c r="C9" s="2">
        <v>-8810.0091780000002</v>
      </c>
      <c r="D9" s="2">
        <v>-8810.4538069999999</v>
      </c>
      <c r="E9" s="2">
        <v>-0.36500244170000001</v>
      </c>
    </row>
    <row r="10" spans="1:15" x14ac:dyDescent="0.2">
      <c r="A10" s="2" t="s">
        <v>7</v>
      </c>
      <c r="B10">
        <f>B8+$E10</f>
        <v>-8804.9553469573002</v>
      </c>
      <c r="C10">
        <f t="shared" ref="C10:D10" si="1">C8+$E10</f>
        <v>-8809.8615399572991</v>
      </c>
      <c r="D10">
        <f t="shared" si="1"/>
        <v>-8810.3061699572991</v>
      </c>
      <c r="E10" s="2">
        <v>-0.21736495729999999</v>
      </c>
    </row>
    <row r="11" spans="1:15" x14ac:dyDescent="0.2">
      <c r="A11" s="2"/>
    </row>
    <row r="13" spans="1:15" x14ac:dyDescent="0.2">
      <c r="A13" s="1" t="s">
        <v>2</v>
      </c>
      <c r="B13" s="2" t="s">
        <v>3</v>
      </c>
      <c r="C13" s="2" t="s">
        <v>4</v>
      </c>
      <c r="D13" s="2" t="s">
        <v>5</v>
      </c>
    </row>
    <row r="14" spans="1:15" x14ac:dyDescent="0.2">
      <c r="A14" s="2" t="s">
        <v>6</v>
      </c>
      <c r="B14" s="2">
        <v>-113.1042894</v>
      </c>
      <c r="C14" s="2">
        <v>-113.23476789999999</v>
      </c>
      <c r="D14" s="2">
        <v>-113.241314</v>
      </c>
    </row>
    <row r="15" spans="1:15" x14ac:dyDescent="0.2">
      <c r="A15" s="2" t="s">
        <v>8</v>
      </c>
      <c r="B15" s="2">
        <v>-113.10470220000001</v>
      </c>
      <c r="C15" s="2">
        <v>-113.2351807</v>
      </c>
      <c r="D15" s="2">
        <v>-113.2417268</v>
      </c>
      <c r="E15" s="2">
        <v>-4.1279889900000001E-4</v>
      </c>
    </row>
    <row r="16" spans="1:15" x14ac:dyDescent="0.2">
      <c r="A16" s="2" t="s">
        <v>7</v>
      </c>
      <c r="B16">
        <f>B14+$E16</f>
        <v>-113.10429167135432</v>
      </c>
      <c r="C16">
        <f t="shared" ref="C16:D16" si="2">C14+$E16</f>
        <v>-113.23477017135431</v>
      </c>
      <c r="D16">
        <f t="shared" si="2"/>
        <v>-113.24131627135432</v>
      </c>
      <c r="E16" s="2">
        <v>-2.2713543199999999E-6</v>
      </c>
    </row>
    <row r="18" spans="1:4" x14ac:dyDescent="0.2">
      <c r="A18" s="2" t="s">
        <v>11</v>
      </c>
      <c r="B18">
        <v>2625.5</v>
      </c>
    </row>
    <row r="19" spans="1:4" x14ac:dyDescent="0.2">
      <c r="A19" s="1" t="s">
        <v>10</v>
      </c>
      <c r="B19" s="2" t="s">
        <v>3</v>
      </c>
      <c r="C19" s="2" t="s">
        <v>4</v>
      </c>
      <c r="D19" s="2" t="s">
        <v>5</v>
      </c>
    </row>
    <row r="20" spans="1:4" x14ac:dyDescent="0.2">
      <c r="A20" t="s">
        <v>8</v>
      </c>
      <c r="B20">
        <f>(B3-B9-B15)*$B18</f>
        <v>-31.11952640134259</v>
      </c>
      <c r="C20">
        <f t="shared" ref="C20:D20" si="3">(C3-C9-C15)*$B18</f>
        <v>-32.147968880414965</v>
      </c>
      <c r="D20">
        <f t="shared" si="3"/>
        <v>-32.081509601913588</v>
      </c>
    </row>
    <row r="21" spans="1:4" x14ac:dyDescent="0.2">
      <c r="A21" s="2" t="s">
        <v>7</v>
      </c>
      <c r="B21">
        <f>(B4-B10-B16)*$B18</f>
        <v>-29.287139659027709</v>
      </c>
      <c r="C21">
        <f t="shared" ref="C21:D21" si="4">(C4-C10-C16)*$B18</f>
        <v>-30.399038911108121</v>
      </c>
      <c r="D21">
        <f t="shared" si="4"/>
        <v>-30.249122864337153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Dinh, Hieu</dc:creator>
  <cp:lastModifiedBy>Dinh, Hieu</cp:lastModifiedBy>
  <dcterms:created xsi:type="dcterms:W3CDTF">2025-09-02T06:32:24Z</dcterms:created>
  <dcterms:modified xsi:type="dcterms:W3CDTF">2025-09-17T04:47:10Z</dcterms:modified>
</cp:coreProperties>
</file>