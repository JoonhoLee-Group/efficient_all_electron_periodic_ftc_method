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eudinh/Desktop/lee-lab/RIJ/efficient_all_electron_periodic_ftc_method/timing_benchmark/"/>
    </mc:Choice>
  </mc:AlternateContent>
  <xr:revisionPtr revIDLastSave="0" documentId="13_ncr:1_{25967B4E-7582-F243-BF98-1D84DFE8221A}" xr6:coauthVersionLast="47" xr6:coauthVersionMax="47" xr10:uidLastSave="{00000000-0000-0000-0000-000000000000}"/>
  <bookViews>
    <workbookView xWindow="68340" yWindow="-1260" windowWidth="28580" windowHeight="26260" xr2:uid="{99DFB6FF-1E34-8F4B-A514-FF14D98A0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H16" i="1"/>
  <c r="G16" i="1"/>
  <c r="G10" i="1"/>
  <c r="H10" i="1" s="1"/>
  <c r="G11" i="1"/>
  <c r="H11" i="1" s="1"/>
  <c r="G9" i="1"/>
  <c r="H9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<sst xmlns="http://schemas.openxmlformats.org/spreadsheetml/2006/main" count="49" uniqueCount="16">
  <si>
    <t>Si (cc-pvtz)</t>
  </si>
  <si>
    <t>AFT pass</t>
  </si>
  <si>
    <t>2e3c pass</t>
  </si>
  <si>
    <t>2e2c pass</t>
  </si>
  <si>
    <t>get_vj_1</t>
  </si>
  <si>
    <t xml:space="preserve">get_vj_2 </t>
  </si>
  <si>
    <t xml:space="preserve">get_vj_avg </t>
  </si>
  <si>
    <t>total RIJ</t>
  </si>
  <si>
    <t>1,1,1</t>
  </si>
  <si>
    <t>2,2,2</t>
  </si>
  <si>
    <t>3,3,3</t>
  </si>
  <si>
    <t>4,4,4</t>
  </si>
  <si>
    <t>10,10,10</t>
  </si>
  <si>
    <t>-</t>
  </si>
  <si>
    <t>Benzene (cc-pvdz)</t>
  </si>
  <si>
    <t>MgO + CO (def2svp)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</si>
</sst>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4A4C-4067-114D-8795-CA81289AF2A9}">
  <dimension ref="A1:H16"/>
  <sheetViews>
    <sheetView tabSelected="1" workbookViewId="0">
      <selection activeCell="L14" sqref="L14"/>
    </sheetView>
  </sheetViews>
  <sheetFormatPr baseColWidth="10" defaultRowHeight="16" x14ac:dyDescent="0.2"/>
  <cols>
    <col min="1" max="1" width="19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10.79</v>
      </c>
      <c r="C2">
        <v>17.77</v>
      </c>
      <c r="D2">
        <v>1.36</v>
      </c>
      <c r="E2">
        <v>2.04</v>
      </c>
      <c r="F2">
        <v>2.0499999999999998</v>
      </c>
      <c r="G2">
        <f>(E2+F2)/2</f>
        <v>2.0449999999999999</v>
      </c>
      <c r="H2">
        <f>B2+C2+D2+G2</f>
        <v>31.964999999999996</v>
      </c>
    </row>
    <row r="3" spans="1:8" x14ac:dyDescent="0.2">
      <c r="A3" t="s">
        <v>9</v>
      </c>
      <c r="B3">
        <v>86.38</v>
      </c>
      <c r="C3">
        <v>53.6</v>
      </c>
      <c r="D3">
        <v>1.25</v>
      </c>
      <c r="E3">
        <v>34.18</v>
      </c>
      <c r="F3">
        <v>33.54</v>
      </c>
      <c r="G3">
        <f t="shared" ref="G3:G5" si="0">(E3+F3)/2</f>
        <v>33.86</v>
      </c>
      <c r="H3">
        <f t="shared" ref="H3:H5" si="1">B3+C3+D3+G3</f>
        <v>175.08999999999997</v>
      </c>
    </row>
    <row r="4" spans="1:8" x14ac:dyDescent="0.2">
      <c r="A4" t="s">
        <v>10</v>
      </c>
      <c r="B4">
        <v>426.07</v>
      </c>
      <c r="C4">
        <v>177.48</v>
      </c>
      <c r="D4">
        <v>1.26</v>
      </c>
      <c r="E4">
        <v>123.74</v>
      </c>
      <c r="F4">
        <v>122.97</v>
      </c>
      <c r="G4">
        <f t="shared" si="0"/>
        <v>123.35499999999999</v>
      </c>
      <c r="H4">
        <f t="shared" si="1"/>
        <v>728.16499999999996</v>
      </c>
    </row>
    <row r="5" spans="1:8" x14ac:dyDescent="0.2">
      <c r="A5" t="s">
        <v>11</v>
      </c>
      <c r="B5">
        <v>821.24</v>
      </c>
      <c r="C5">
        <v>638.95000000000005</v>
      </c>
      <c r="D5">
        <v>1.42</v>
      </c>
      <c r="E5">
        <v>524.85</v>
      </c>
      <c r="F5">
        <v>548.76</v>
      </c>
      <c r="G5">
        <f t="shared" si="0"/>
        <v>536.80500000000006</v>
      </c>
      <c r="H5">
        <f t="shared" si="1"/>
        <v>1998.4150000000002</v>
      </c>
    </row>
    <row r="6" spans="1:8" x14ac:dyDescent="0.2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</row>
    <row r="8" spans="1:8" x14ac:dyDescent="0.2">
      <c r="A8" s="1" t="s">
        <v>14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</row>
    <row r="9" spans="1:8" x14ac:dyDescent="0.2">
      <c r="A9" t="s">
        <v>8</v>
      </c>
      <c r="B9">
        <v>7.83</v>
      </c>
      <c r="C9">
        <v>11.47</v>
      </c>
      <c r="D9">
        <v>1.61</v>
      </c>
      <c r="E9">
        <v>1.95</v>
      </c>
      <c r="F9">
        <v>1.95</v>
      </c>
      <c r="G9">
        <f>(E9+F9)/2</f>
        <v>1.95</v>
      </c>
      <c r="H9">
        <f>B9+C9+D9+G9</f>
        <v>22.86</v>
      </c>
    </row>
    <row r="10" spans="1:8" x14ac:dyDescent="0.2">
      <c r="A10" t="s">
        <v>9</v>
      </c>
      <c r="B10">
        <v>82.49</v>
      </c>
      <c r="C10">
        <v>47.43</v>
      </c>
      <c r="D10">
        <v>1.47</v>
      </c>
      <c r="E10">
        <v>31.16</v>
      </c>
      <c r="F10">
        <v>31.19</v>
      </c>
      <c r="G10">
        <f t="shared" ref="G10:G12" si="2">(E10+F10)/2</f>
        <v>31.175000000000001</v>
      </c>
      <c r="H10">
        <f t="shared" ref="H10:H12" si="3">B10+C10+D10+G10</f>
        <v>162.565</v>
      </c>
    </row>
    <row r="11" spans="1:8" x14ac:dyDescent="0.2">
      <c r="A11" t="s">
        <v>10</v>
      </c>
      <c r="B11">
        <v>543.73</v>
      </c>
      <c r="C11">
        <v>174.43</v>
      </c>
      <c r="D11">
        <v>1.63</v>
      </c>
      <c r="E11">
        <v>120.52</v>
      </c>
      <c r="F11">
        <v>121.11</v>
      </c>
      <c r="G11">
        <f t="shared" si="2"/>
        <v>120.815</v>
      </c>
      <c r="H11">
        <f t="shared" si="3"/>
        <v>840.60500000000002</v>
      </c>
    </row>
    <row r="12" spans="1:8" x14ac:dyDescent="0.2">
      <c r="A12" t="s">
        <v>11</v>
      </c>
      <c r="B12">
        <v>1159.3399999999999</v>
      </c>
      <c r="C12">
        <v>623.62</v>
      </c>
      <c r="D12">
        <v>1.81</v>
      </c>
      <c r="E12">
        <v>362.91</v>
      </c>
      <c r="F12">
        <v>373.71</v>
      </c>
      <c r="G12">
        <f t="shared" si="2"/>
        <v>368.31</v>
      </c>
      <c r="H12">
        <f t="shared" si="3"/>
        <v>2153.08</v>
      </c>
    </row>
    <row r="13" spans="1:8" x14ac:dyDescent="0.2">
      <c r="A13" t="s">
        <v>12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</row>
    <row r="15" spans="1:8" x14ac:dyDescent="0.2">
      <c r="A15" s="1" t="s">
        <v>15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8" x14ac:dyDescent="0.2">
      <c r="A16" t="s">
        <v>8</v>
      </c>
      <c r="B16">
        <v>151.71</v>
      </c>
      <c r="C16">
        <v>19.059999999999999</v>
      </c>
      <c r="D16">
        <v>7.61</v>
      </c>
      <c r="E16">
        <v>16.78</v>
      </c>
      <c r="F16">
        <v>17.73</v>
      </c>
      <c r="G16">
        <f>(E16+F16)/2</f>
        <v>17.255000000000003</v>
      </c>
      <c r="H16">
        <f>B16+C16+D16+G16</f>
        <v>195.63500000000002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Hieu</dc:creator>
  <cp:lastModifiedBy>Dinh, Hieu</cp:lastModifiedBy>
  <dcterms:created xsi:type="dcterms:W3CDTF">2025-09-12T04:23:11Z</dcterms:created>
  <dcterms:modified xsi:type="dcterms:W3CDTF">2025-09-17T03:12:26Z</dcterms:modified>
</cp:coreProperties>
</file>