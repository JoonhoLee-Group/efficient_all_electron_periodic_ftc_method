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eudinh/Desktop/lee-lab/RIJ/efficient_all_electron_periodic_ftc_method/timing_benchmark/"/>
    </mc:Choice>
  </mc:AlternateContent>
  <xr:revisionPtr revIDLastSave="0" documentId="13_ncr:1_{5AB97F8F-3E5F-9547-8202-F8875903FFCF}" xr6:coauthVersionLast="47" xr6:coauthVersionMax="47" xr10:uidLastSave="{00000000-0000-0000-0000-000000000000}"/>
  <bookViews>
    <workbookView xWindow="64360" yWindow="-2160" windowWidth="24360" windowHeight="21920" xr2:uid="{D9408267-D062-0640-8914-24048D468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H16" i="1"/>
  <c r="I16" i="1" s="1"/>
  <c r="J3" i="1"/>
  <c r="J4" i="1"/>
  <c r="J5" i="1"/>
  <c r="J6" i="1"/>
  <c r="J2" i="1"/>
  <c r="H3" i="1"/>
  <c r="I3" i="1" s="1"/>
  <c r="H4" i="1"/>
  <c r="I4" i="1" s="1"/>
  <c r="H5" i="1"/>
  <c r="I5" i="1" s="1"/>
  <c r="H6" i="1"/>
  <c r="I6" i="1" s="1"/>
  <c r="H2" i="1"/>
  <c r="I2" i="1" s="1"/>
  <c r="J13" i="1"/>
  <c r="H13" i="1"/>
  <c r="I13" i="1" s="1"/>
  <c r="J12" i="1"/>
  <c r="H12" i="1"/>
  <c r="I12" i="1" s="1"/>
  <c r="J11" i="1"/>
  <c r="H11" i="1"/>
  <c r="I11" i="1" s="1"/>
  <c r="J10" i="1"/>
  <c r="H10" i="1"/>
  <c r="I10" i="1" s="1"/>
  <c r="J9" i="1"/>
  <c r="H9" i="1"/>
  <c r="I9" i="1" s="1"/>
</calcChain>
</file>

<file path=xl/sharedStrings.xml><?xml version="1.0" encoding="utf-8"?>
<sst xmlns="http://schemas.openxmlformats.org/spreadsheetml/2006/main" count="41" uniqueCount="17">
  <si>
    <t>Si</t>
  </si>
  <si>
    <t>2e2c</t>
  </si>
  <si>
    <t>2e3c CC</t>
  </si>
  <si>
    <t>2e3c CD</t>
  </si>
  <si>
    <t>per iter 1</t>
  </si>
  <si>
    <t>per iter 2</t>
  </si>
  <si>
    <t>per iter 3</t>
  </si>
  <si>
    <t>per iter avg</t>
  </si>
  <si>
    <t>total time</t>
  </si>
  <si>
    <t>init time</t>
  </si>
  <si>
    <t>1,1,1</t>
  </si>
  <si>
    <t>2,2,2</t>
  </si>
  <si>
    <t>3,3,3</t>
  </si>
  <si>
    <t>4,4,4</t>
  </si>
  <si>
    <t>10,10,10</t>
  </si>
  <si>
    <t>benzene</t>
  </si>
  <si>
    <t>MgO + CO (def2svp)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</si>
</sst>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FB0B-79C5-294C-BE9A-ED0CE4A657AE}">
  <dimension ref="A1:J16"/>
  <sheetViews>
    <sheetView tabSelected="1" workbookViewId="0">
      <selection activeCell="F18" sqref="F18"/>
    </sheetView>
  </sheetViews>
  <sheetFormatPr baseColWidth="10" defaultRowHeight="16" x14ac:dyDescent="0.2"/>
  <cols>
    <col min="1" max="1" width="21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0.56000000000000005</v>
      </c>
      <c r="C2">
        <v>14.68</v>
      </c>
      <c r="D2">
        <v>11.19</v>
      </c>
      <c r="E2">
        <v>1.36</v>
      </c>
      <c r="F2">
        <v>1.39</v>
      </c>
      <c r="G2">
        <v>1.37</v>
      </c>
      <c r="H2">
        <f>(E2+F2+G2)/3</f>
        <v>1.3733333333333333</v>
      </c>
      <c r="I2">
        <f>B2+C2+D2+H2</f>
        <v>27.803333333333335</v>
      </c>
      <c r="J2">
        <f>B2+C2+D2</f>
        <v>26.43</v>
      </c>
    </row>
    <row r="3" spans="1:10" x14ac:dyDescent="0.2">
      <c r="A3" t="s">
        <v>11</v>
      </c>
      <c r="B3">
        <v>0.56000000000000005</v>
      </c>
      <c r="C3">
        <v>13.69</v>
      </c>
      <c r="D3">
        <v>18.239999999999998</v>
      </c>
      <c r="E3">
        <v>2.1</v>
      </c>
      <c r="F3">
        <v>2.15</v>
      </c>
      <c r="G3">
        <v>2.09</v>
      </c>
      <c r="H3">
        <f t="shared" ref="H3:H6" si="0">(E3+F3+G3)/3</f>
        <v>2.1133333333333333</v>
      </c>
      <c r="I3">
        <f t="shared" ref="I3:I6" si="1">B3+C3+D3+H3</f>
        <v>34.603333333333325</v>
      </c>
      <c r="J3">
        <f t="shared" ref="J3:J6" si="2">B3+C3+D3</f>
        <v>32.489999999999995</v>
      </c>
    </row>
    <row r="4" spans="1:10" x14ac:dyDescent="0.2">
      <c r="A4" t="s">
        <v>12</v>
      </c>
      <c r="B4">
        <v>0.59</v>
      </c>
      <c r="C4">
        <v>17.21</v>
      </c>
      <c r="D4">
        <v>19.64</v>
      </c>
      <c r="E4">
        <v>2.5499999999999998</v>
      </c>
      <c r="F4">
        <v>2.62</v>
      </c>
      <c r="G4">
        <v>2.54</v>
      </c>
      <c r="H4">
        <f t="shared" si="0"/>
        <v>2.57</v>
      </c>
      <c r="I4">
        <f t="shared" si="1"/>
        <v>40.01</v>
      </c>
      <c r="J4">
        <f t="shared" si="2"/>
        <v>37.44</v>
      </c>
    </row>
    <row r="5" spans="1:10" x14ac:dyDescent="0.2">
      <c r="A5" t="s">
        <v>13</v>
      </c>
      <c r="B5">
        <v>0.56000000000000005</v>
      </c>
      <c r="C5">
        <v>17.73</v>
      </c>
      <c r="D5">
        <v>20.04</v>
      </c>
      <c r="E5">
        <v>2.99</v>
      </c>
      <c r="F5">
        <v>3.04</v>
      </c>
      <c r="G5">
        <v>3</v>
      </c>
      <c r="H5">
        <f t="shared" si="0"/>
        <v>3.0100000000000002</v>
      </c>
      <c r="I5">
        <f t="shared" si="1"/>
        <v>41.339999999999996</v>
      </c>
      <c r="J5">
        <f t="shared" si="2"/>
        <v>38.33</v>
      </c>
    </row>
    <row r="6" spans="1:10" x14ac:dyDescent="0.2">
      <c r="A6" t="s">
        <v>14</v>
      </c>
      <c r="B6">
        <v>0.56999999999999995</v>
      </c>
      <c r="C6">
        <v>18.37</v>
      </c>
      <c r="D6">
        <v>21.22</v>
      </c>
      <c r="E6">
        <v>11.88</v>
      </c>
      <c r="F6">
        <v>11.66</v>
      </c>
      <c r="G6">
        <v>11.72</v>
      </c>
      <c r="H6">
        <f t="shared" si="0"/>
        <v>11.753333333333332</v>
      </c>
      <c r="I6">
        <f t="shared" si="1"/>
        <v>51.913333333333327</v>
      </c>
      <c r="J6">
        <f t="shared" si="2"/>
        <v>40.159999999999997</v>
      </c>
    </row>
    <row r="8" spans="1:10" x14ac:dyDescent="0.2">
      <c r="A8" s="1" t="s">
        <v>15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x14ac:dyDescent="0.2">
      <c r="A9" t="s">
        <v>10</v>
      </c>
      <c r="B9">
        <v>1.57</v>
      </c>
      <c r="C9">
        <v>15.14</v>
      </c>
      <c r="D9">
        <v>4.84</v>
      </c>
      <c r="E9">
        <v>1.05</v>
      </c>
      <c r="F9">
        <v>1.04</v>
      </c>
      <c r="G9">
        <v>1.04</v>
      </c>
      <c r="H9">
        <f>(E9+F9+G9)/3</f>
        <v>1.0433333333333332</v>
      </c>
      <c r="I9">
        <f>B9+C9+D9+H9</f>
        <v>22.593333333333334</v>
      </c>
      <c r="J9">
        <f>D9+C9+B9</f>
        <v>21.55</v>
      </c>
    </row>
    <row r="10" spans="1:10" x14ac:dyDescent="0.2">
      <c r="A10" t="s">
        <v>11</v>
      </c>
      <c r="B10">
        <v>1.35</v>
      </c>
      <c r="C10">
        <v>18.72</v>
      </c>
      <c r="D10">
        <v>6.67</v>
      </c>
      <c r="E10">
        <v>1.73</v>
      </c>
      <c r="F10">
        <v>2.08</v>
      </c>
      <c r="G10">
        <v>1.81</v>
      </c>
      <c r="H10">
        <f t="shared" ref="H10:H13" si="3">(E10+F10+G10)/3</f>
        <v>1.8733333333333333</v>
      </c>
      <c r="I10">
        <f t="shared" ref="I10:I13" si="4">B10+C10+D10+H10</f>
        <v>28.613333333333337</v>
      </c>
      <c r="J10">
        <f t="shared" ref="J10:J13" si="5">D10+C10+B10</f>
        <v>26.740000000000002</v>
      </c>
    </row>
    <row r="11" spans="1:10" x14ac:dyDescent="0.2">
      <c r="A11" t="s">
        <v>12</v>
      </c>
      <c r="B11">
        <v>1.5</v>
      </c>
      <c r="C11">
        <v>20.45</v>
      </c>
      <c r="D11">
        <v>8.18</v>
      </c>
      <c r="E11">
        <v>1.98</v>
      </c>
      <c r="F11">
        <v>1.92</v>
      </c>
      <c r="G11">
        <v>1.94</v>
      </c>
      <c r="H11">
        <f t="shared" si="3"/>
        <v>1.9466666666666665</v>
      </c>
      <c r="I11">
        <f t="shared" si="4"/>
        <v>32.076666666666668</v>
      </c>
      <c r="J11">
        <f t="shared" si="5"/>
        <v>30.13</v>
      </c>
    </row>
    <row r="12" spans="1:10" x14ac:dyDescent="0.2">
      <c r="A12" t="s">
        <v>13</v>
      </c>
      <c r="B12">
        <v>1.5</v>
      </c>
      <c r="C12">
        <v>20.77</v>
      </c>
      <c r="D12">
        <v>8.5</v>
      </c>
      <c r="E12">
        <v>2.33</v>
      </c>
      <c r="F12">
        <v>2.35</v>
      </c>
      <c r="G12">
        <v>2.33</v>
      </c>
      <c r="H12">
        <f t="shared" si="3"/>
        <v>2.3366666666666664</v>
      </c>
      <c r="I12">
        <f t="shared" si="4"/>
        <v>33.106666666666669</v>
      </c>
      <c r="J12">
        <f t="shared" si="5"/>
        <v>30.77</v>
      </c>
    </row>
    <row r="13" spans="1:10" x14ac:dyDescent="0.2">
      <c r="A13" t="s">
        <v>14</v>
      </c>
      <c r="B13">
        <v>1.42</v>
      </c>
      <c r="C13">
        <v>8.86</v>
      </c>
      <c r="D13">
        <v>21.93</v>
      </c>
      <c r="E13">
        <v>9.98</v>
      </c>
      <c r="F13">
        <v>9.93</v>
      </c>
      <c r="G13">
        <v>9.99</v>
      </c>
      <c r="H13">
        <f t="shared" si="3"/>
        <v>9.9666666666666668</v>
      </c>
      <c r="I13">
        <f t="shared" si="4"/>
        <v>42.176666666666669</v>
      </c>
      <c r="J13">
        <f t="shared" si="5"/>
        <v>32.21</v>
      </c>
    </row>
    <row r="15" spans="1:10" x14ac:dyDescent="0.2">
      <c r="A15" s="1" t="s">
        <v>16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</row>
    <row r="16" spans="1:10" x14ac:dyDescent="0.2">
      <c r="A16" t="s">
        <v>10</v>
      </c>
      <c r="B16">
        <v>1.79</v>
      </c>
      <c r="C16">
        <v>11.31</v>
      </c>
      <c r="D16">
        <v>8.39</v>
      </c>
      <c r="E16">
        <v>7.33</v>
      </c>
      <c r="F16">
        <v>7.28</v>
      </c>
      <c r="G16">
        <v>7.31</v>
      </c>
      <c r="H16">
        <f>(E16+F16+G16) / 3</f>
        <v>7.3066666666666658</v>
      </c>
      <c r="I16">
        <f>B16+C16+D16+H16</f>
        <v>28.796666666666667</v>
      </c>
      <c r="J16">
        <f>B16+C16+D16</f>
        <v>21.490000000000002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Hieu</dc:creator>
  <cp:lastModifiedBy>Dinh, Hieu</cp:lastModifiedBy>
  <dcterms:created xsi:type="dcterms:W3CDTF">2025-09-12T22:54:38Z</dcterms:created>
  <dcterms:modified xsi:type="dcterms:W3CDTF">2025-09-17T03:07:52Z</dcterms:modified>
</cp:coreProperties>
</file>