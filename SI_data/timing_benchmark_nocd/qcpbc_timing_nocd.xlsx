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eudinh/Desktop/lee-lab/"/>
    </mc:Choice>
  </mc:AlternateContent>
  <xr:revisionPtr revIDLastSave="0" documentId="13_ncr:1_{98C89823-0E8A-A34B-A12C-DC8C48094416}" xr6:coauthVersionLast="47" xr6:coauthVersionMax="47" xr10:uidLastSave="{00000000-0000-0000-0000-000000000000}"/>
  <bookViews>
    <workbookView xWindow="55220" yWindow="-420" windowWidth="28040" windowHeight="17440" xr2:uid="{EEC155BE-E235-3F47-A309-82DF32F329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11" i="1"/>
  <c r="J12" i="1"/>
  <c r="J13" i="1"/>
  <c r="J9" i="1"/>
  <c r="H10" i="1"/>
  <c r="I10" i="1" s="1"/>
  <c r="H11" i="1"/>
  <c r="I11" i="1" s="1"/>
  <c r="H12" i="1"/>
  <c r="I12" i="1" s="1"/>
  <c r="H13" i="1"/>
  <c r="I13" i="1" s="1"/>
  <c r="H9" i="1"/>
  <c r="I9" i="1" s="1"/>
  <c r="J3" i="1"/>
  <c r="J4" i="1"/>
  <c r="J5" i="1"/>
  <c r="J6" i="1"/>
  <c r="J2" i="1"/>
  <c r="H3" i="1"/>
  <c r="I3" i="1" s="1"/>
  <c r="H4" i="1"/>
  <c r="I4" i="1" s="1"/>
  <c r="H5" i="1"/>
  <c r="I5" i="1" s="1"/>
  <c r="H6" i="1"/>
  <c r="I6" i="1" s="1"/>
  <c r="H2" i="1"/>
  <c r="I2" i="1" s="1"/>
  <c r="J16" i="1"/>
  <c r="H16" i="1"/>
  <c r="I16" i="1" s="1"/>
</calcChain>
</file>

<file path=xl/sharedStrings.xml><?xml version="1.0" encoding="utf-8"?>
<sst xmlns="http://schemas.openxmlformats.org/spreadsheetml/2006/main" count="41" uniqueCount="17">
  <si>
    <t>Si</t>
  </si>
  <si>
    <t>2e2c</t>
  </si>
  <si>
    <t>2e3c CC</t>
  </si>
  <si>
    <t>2e3c CD</t>
  </si>
  <si>
    <t>per iter 1</t>
  </si>
  <si>
    <t>per iter 2</t>
  </si>
  <si>
    <t>per iter 3</t>
  </si>
  <si>
    <t>per iter avg</t>
  </si>
  <si>
    <t>total time</t>
  </si>
  <si>
    <t>init time</t>
  </si>
  <si>
    <t>1,1,1</t>
  </si>
  <si>
    <t>2,2,2</t>
  </si>
  <si>
    <t>3,3,3</t>
  </si>
  <si>
    <t>4,4,4</t>
  </si>
  <si>
    <t>10,10,10</t>
  </si>
  <si>
    <t>benzene</t>
  </si>
  <si>
    <t>MgO + CO (def2svp)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</si>
</sst>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963F4-1EA6-404C-8723-AB548512AD22}">
  <dimension ref="A1:J16"/>
  <sheetViews>
    <sheetView tabSelected="1" workbookViewId="0">
      <selection activeCell="L13" sqref="L13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>
        <v>0.5</v>
      </c>
      <c r="C2" s="2">
        <v>25.59</v>
      </c>
      <c r="D2" s="2">
        <v>0</v>
      </c>
      <c r="E2" s="2">
        <v>1.66</v>
      </c>
      <c r="F2" s="2">
        <v>1.68</v>
      </c>
      <c r="G2" s="2">
        <v>1.68</v>
      </c>
      <c r="H2" s="2">
        <f>(E2+F2+G2)/3</f>
        <v>1.6733333333333331</v>
      </c>
      <c r="I2" s="2">
        <f>H2+D2+C2+B2</f>
        <v>27.763333333333332</v>
      </c>
      <c r="J2" s="2">
        <f>B2+C2+D2</f>
        <v>26.09</v>
      </c>
    </row>
    <row r="3" spans="1:10" x14ac:dyDescent="0.2">
      <c r="A3" s="2" t="s">
        <v>11</v>
      </c>
      <c r="B3" s="2">
        <v>0.53</v>
      </c>
      <c r="C3" s="2">
        <v>31.51</v>
      </c>
      <c r="D3" s="2">
        <v>0</v>
      </c>
      <c r="E3" s="2">
        <v>2.41</v>
      </c>
      <c r="F3" s="2">
        <v>2.4700000000000002</v>
      </c>
      <c r="G3" s="2">
        <v>2.38</v>
      </c>
      <c r="H3" s="2">
        <f t="shared" ref="H3:H6" si="0">(E3+F3+G3)/3</f>
        <v>2.4200000000000004</v>
      </c>
      <c r="I3" s="2">
        <f t="shared" ref="I3:I6" si="1">H3+D3+C3+B3</f>
        <v>34.46</v>
      </c>
      <c r="J3" s="2">
        <f t="shared" ref="J3:J6" si="2">B3+C3+D3</f>
        <v>32.04</v>
      </c>
    </row>
    <row r="4" spans="1:10" x14ac:dyDescent="0.2">
      <c r="A4" s="2" t="s">
        <v>12</v>
      </c>
      <c r="B4" s="2">
        <v>0.49</v>
      </c>
      <c r="C4" s="2">
        <v>35.68</v>
      </c>
      <c r="D4" s="2">
        <v>0</v>
      </c>
      <c r="E4" s="2">
        <v>2.86</v>
      </c>
      <c r="F4" s="2">
        <v>2.85</v>
      </c>
      <c r="G4" s="2">
        <v>2.85</v>
      </c>
      <c r="H4" s="2">
        <f t="shared" si="0"/>
        <v>2.8533333333333335</v>
      </c>
      <c r="I4" s="2">
        <f t="shared" si="1"/>
        <v>39.023333333333333</v>
      </c>
      <c r="J4" s="2">
        <f t="shared" si="2"/>
        <v>36.17</v>
      </c>
    </row>
    <row r="5" spans="1:10" x14ac:dyDescent="0.2">
      <c r="A5" s="2" t="s">
        <v>13</v>
      </c>
      <c r="B5" s="2">
        <v>0.53</v>
      </c>
      <c r="C5" s="2">
        <v>36.840000000000003</v>
      </c>
      <c r="D5" s="2">
        <v>0</v>
      </c>
      <c r="E5" s="2">
        <v>3.41</v>
      </c>
      <c r="F5" s="2">
        <v>3.32</v>
      </c>
      <c r="G5" s="2">
        <v>3.41</v>
      </c>
      <c r="H5" s="2">
        <f t="shared" si="0"/>
        <v>3.3800000000000003</v>
      </c>
      <c r="I5" s="2">
        <f t="shared" si="1"/>
        <v>40.750000000000007</v>
      </c>
      <c r="J5" s="2">
        <f t="shared" si="2"/>
        <v>37.370000000000005</v>
      </c>
    </row>
    <row r="6" spans="1:10" x14ac:dyDescent="0.2">
      <c r="A6" s="2" t="s">
        <v>14</v>
      </c>
      <c r="B6" s="2">
        <v>0.52</v>
      </c>
      <c r="C6" s="2">
        <v>39.020000000000003</v>
      </c>
      <c r="D6" s="2">
        <v>0</v>
      </c>
      <c r="E6" s="2">
        <v>11.9</v>
      </c>
      <c r="F6" s="2">
        <v>11.92</v>
      </c>
      <c r="G6" s="2">
        <v>11.87</v>
      </c>
      <c r="H6" s="2">
        <f t="shared" si="0"/>
        <v>11.896666666666667</v>
      </c>
      <c r="I6" s="2">
        <f t="shared" si="1"/>
        <v>51.436666666666675</v>
      </c>
      <c r="J6" s="2">
        <f t="shared" si="2"/>
        <v>39.540000000000006</v>
      </c>
    </row>
    <row r="7" spans="1:10" x14ac:dyDescent="0.2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">
      <c r="A8" s="1" t="s">
        <v>15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</row>
    <row r="9" spans="1:10" x14ac:dyDescent="0.2">
      <c r="A9" s="2" t="s">
        <v>10</v>
      </c>
      <c r="B9" s="2">
        <v>1.37</v>
      </c>
      <c r="C9" s="2">
        <v>19.87</v>
      </c>
      <c r="D9" s="2">
        <v>0</v>
      </c>
      <c r="E9" s="2">
        <v>1.23</v>
      </c>
      <c r="F9" s="2">
        <v>1.22</v>
      </c>
      <c r="G9" s="2">
        <v>1.21</v>
      </c>
      <c r="H9" s="2">
        <f>(E9+F9+G9)/3</f>
        <v>1.22</v>
      </c>
      <c r="I9" s="2">
        <f>H9+D9+C9+B9</f>
        <v>22.46</v>
      </c>
      <c r="J9" s="2">
        <f>D9+C9+B9</f>
        <v>21.240000000000002</v>
      </c>
    </row>
    <row r="10" spans="1:10" x14ac:dyDescent="0.2">
      <c r="A10" s="2" t="s">
        <v>11</v>
      </c>
      <c r="B10" s="2">
        <v>1.54</v>
      </c>
      <c r="C10" s="2">
        <v>25.91</v>
      </c>
      <c r="D10" s="2">
        <v>0</v>
      </c>
      <c r="E10" s="2">
        <v>1.52</v>
      </c>
      <c r="F10" s="2">
        <v>1.45</v>
      </c>
      <c r="G10" s="2">
        <v>1.48</v>
      </c>
      <c r="H10" s="2">
        <f t="shared" ref="H10:H13" si="3">(E10+F10+G10)/3</f>
        <v>1.4833333333333332</v>
      </c>
      <c r="I10" s="2">
        <f t="shared" ref="I10:I13" si="4">H10+D10+C10+B10</f>
        <v>28.933333333333334</v>
      </c>
      <c r="J10" s="2">
        <f t="shared" ref="J10:J13" si="5">D10+C10+B10</f>
        <v>27.45</v>
      </c>
    </row>
    <row r="11" spans="1:10" x14ac:dyDescent="0.2">
      <c r="A11" s="2" t="s">
        <v>12</v>
      </c>
      <c r="B11" s="2">
        <v>1.37</v>
      </c>
      <c r="C11" s="2">
        <v>28.13</v>
      </c>
      <c r="D11" s="2">
        <v>0</v>
      </c>
      <c r="E11" s="2">
        <v>1.79</v>
      </c>
      <c r="F11" s="2">
        <v>1.79</v>
      </c>
      <c r="G11" s="2">
        <v>1.76</v>
      </c>
      <c r="H11" s="2">
        <f t="shared" si="3"/>
        <v>1.78</v>
      </c>
      <c r="I11" s="2">
        <f t="shared" si="4"/>
        <v>31.28</v>
      </c>
      <c r="J11" s="2">
        <f t="shared" si="5"/>
        <v>29.5</v>
      </c>
    </row>
    <row r="12" spans="1:10" x14ac:dyDescent="0.2">
      <c r="A12" s="2" t="s">
        <v>13</v>
      </c>
      <c r="B12" s="2">
        <v>1.39</v>
      </c>
      <c r="C12" s="2">
        <v>28.44</v>
      </c>
      <c r="D12" s="2">
        <v>0</v>
      </c>
      <c r="E12" s="2">
        <v>2.11</v>
      </c>
      <c r="F12" s="2">
        <v>2.04</v>
      </c>
      <c r="G12" s="2">
        <v>2.08</v>
      </c>
      <c r="H12" s="2">
        <f t="shared" si="3"/>
        <v>2.0766666666666667</v>
      </c>
      <c r="I12" s="2">
        <f t="shared" si="4"/>
        <v>31.90666666666667</v>
      </c>
      <c r="J12" s="2">
        <f t="shared" si="5"/>
        <v>29.830000000000002</v>
      </c>
    </row>
    <row r="13" spans="1:10" x14ac:dyDescent="0.2">
      <c r="A13" s="2" t="s">
        <v>14</v>
      </c>
      <c r="B13" s="2">
        <v>1.4</v>
      </c>
      <c r="C13" s="2">
        <v>29.56</v>
      </c>
      <c r="D13" s="2">
        <v>0</v>
      </c>
      <c r="E13" s="2">
        <v>8.19</v>
      </c>
      <c r="F13" s="2">
        <v>8.2200000000000006</v>
      </c>
      <c r="G13" s="2">
        <v>8.1</v>
      </c>
      <c r="H13" s="2">
        <f t="shared" si="3"/>
        <v>8.17</v>
      </c>
      <c r="I13" s="2">
        <f t="shared" si="4"/>
        <v>39.129999999999995</v>
      </c>
      <c r="J13" s="2">
        <f t="shared" si="5"/>
        <v>30.959999999999997</v>
      </c>
    </row>
    <row r="14" spans="1:10" x14ac:dyDescent="0.2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">
      <c r="A15" s="1" t="s">
        <v>16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</row>
    <row r="16" spans="1:10" x14ac:dyDescent="0.2">
      <c r="A16" s="2" t="s">
        <v>10</v>
      </c>
      <c r="B16" s="2">
        <v>1.85</v>
      </c>
      <c r="C16" s="2">
        <v>18.68</v>
      </c>
      <c r="D16" s="2">
        <v>0</v>
      </c>
      <c r="E16" s="2">
        <v>9.0399999999999991</v>
      </c>
      <c r="F16" s="2">
        <v>9</v>
      </c>
      <c r="G16" s="2">
        <v>9</v>
      </c>
      <c r="H16" s="2">
        <f>(E16+F16+G16)/3</f>
        <v>9.0133333333333336</v>
      </c>
      <c r="I16" s="2">
        <f>H16+D16+C16+B16</f>
        <v>29.543333333333337</v>
      </c>
      <c r="J16" s="2">
        <f>B16+C16+D16</f>
        <v>20.53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Dinh, Hieu</dc:creator>
  <cp:lastModifiedBy>Dinh, Hieu</cp:lastModifiedBy>
  <dcterms:created xsi:type="dcterms:W3CDTF">2025-11-18T21:26:10Z</dcterms:created>
  <dcterms:modified xsi:type="dcterms:W3CDTF">2025-11-24T04:08:53Z</dcterms:modified>
</cp:coreProperties>
</file>